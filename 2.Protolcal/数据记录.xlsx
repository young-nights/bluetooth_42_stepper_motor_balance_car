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RTT_Item_Floder\DIY-Floder-001-balance_car\R02-formal_bluetooth_42_stepper_motor_balance_car_workspace\2.Protolcal\"/>
    </mc:Choice>
  </mc:AlternateContent>
  <xr:revisionPtr revIDLastSave="0" documentId="13_ncr:1_{95305A93-0A0E-4BA0-907F-33517FD9CE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电机工作频率与电机转速关系表" sheetId="1" r:id="rId1"/>
    <sheet name="电机细分数表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L4" i="1"/>
  <c r="L3" i="1"/>
</calcChain>
</file>

<file path=xl/sharedStrings.xml><?xml version="1.0" encoding="utf-8"?>
<sst xmlns="http://schemas.openxmlformats.org/spreadsheetml/2006/main" count="27" uniqueCount="25">
  <si>
    <t>周期(Period)</t>
  </si>
  <si>
    <t>电机占空比(Duty)</t>
    <phoneticPr fontId="1" type="noConversion"/>
  </si>
  <si>
    <t>占空比(%)</t>
    <phoneticPr fontId="1" type="noConversion"/>
  </si>
  <si>
    <t>Mode1</t>
    <phoneticPr fontId="1" type="noConversion"/>
  </si>
  <si>
    <t>Mode0</t>
    <phoneticPr fontId="1" type="noConversion"/>
  </si>
  <si>
    <t>Mode2</t>
    <phoneticPr fontId="1" type="noConversion"/>
  </si>
  <si>
    <t>细分模式</t>
    <phoneticPr fontId="1" type="noConversion"/>
  </si>
  <si>
    <t>8细分</t>
    <phoneticPr fontId="1" type="noConversion"/>
  </si>
  <si>
    <t>32细分</t>
    <phoneticPr fontId="1" type="noConversion"/>
  </si>
  <si>
    <t>16细分</t>
    <phoneticPr fontId="1" type="noConversion"/>
  </si>
  <si>
    <t>4细分</t>
    <phoneticPr fontId="1" type="noConversion"/>
  </si>
  <si>
    <t>2细分</t>
    <phoneticPr fontId="1" type="noConversion"/>
  </si>
  <si>
    <t>1细分</t>
    <phoneticPr fontId="1" type="noConversion"/>
  </si>
  <si>
    <t>电机使用16细分进行转速测试</t>
  </si>
  <si>
    <t>PWM频率(单位：Hz)</t>
    <phoneticPr fontId="1" type="noConversion"/>
  </si>
  <si>
    <t>转一周所用时间(s)</t>
    <phoneticPr fontId="1" type="noConversion"/>
  </si>
  <si>
    <t>轮子周长</t>
    <phoneticPr fontId="1" type="noConversion"/>
  </si>
  <si>
    <t>轮子直径</t>
    <phoneticPr fontId="1" type="noConversion"/>
  </si>
  <si>
    <t>圆周率</t>
    <phoneticPr fontId="1" type="noConversion"/>
  </si>
  <si>
    <t>单位</t>
    <phoneticPr fontId="1" type="noConversion"/>
  </si>
  <si>
    <t>mm</t>
    <phoneticPr fontId="1" type="noConversion"/>
  </si>
  <si>
    <t>m</t>
    <phoneticPr fontId="1" type="noConversion"/>
  </si>
  <si>
    <t>\</t>
    <phoneticPr fontId="1" type="noConversion"/>
  </si>
  <si>
    <t>是否异常</t>
    <phoneticPr fontId="1" type="noConversion"/>
  </si>
  <si>
    <t>速度(m/s)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</si>
</sst>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 "/>
    <numFmt numFmtId="180" formatCode="0.0000000_);[Red]\(0.00000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华文新魏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3DB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</cellXfs>
  <cellStyles count="1">
    <cellStyle name="常规" xfId="0" builtinId="0"/>
  </cellStyles>
  <dxfs count="14">
    <dxf>
      <numFmt numFmtId="180" formatCode="0.0000000_);[Red]\(0.0000000\)"/>
      <alignment horizontal="center" vertical="center" textRotation="0" wrapText="0" indent="0" justifyLastLine="0" shrinkToFit="0" readingOrder="0"/>
    </dxf>
    <dxf>
      <numFmt numFmtId="178" formatCode="0.0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alignment horizontal="center" vertical="center" textRotation="0" wrapText="0" indent="0" justifyLastLine="0" shrinkToFit="0" readingOrder="0"/>
    </dxf>
    <dxf>
      <numFmt numFmtId="15" formatCode="0.0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8812CF-E9D5-4DA1-8FD5-2CF59BB60AB0}" name="表1" displayName="表1" ref="A2:G25" totalsRowShown="0" headerRowDxfId="8" dataDxfId="7">
  <autoFilter ref="A2:G25" xr:uid="{998812CF-E9D5-4DA1-8FD5-2CF59BB60AB0}"/>
  <tableColumns count="7">
    <tableColumn id="1" xr3:uid="{AAB158FA-6027-424D-A4D1-36CB982EED6A}" name="PWM频率(单位：Hz)" dataDxfId="6"/>
    <tableColumn id="2" xr3:uid="{457F76D8-D0C0-4861-9BE8-5DCD3E966388}" name="占空比(%)" dataDxfId="5"/>
    <tableColumn id="3" xr3:uid="{69F0EC84-D129-4A7C-9D57-48B5CA97A685}" name="电机占空比(Duty)" dataDxfId="4"/>
    <tableColumn id="4" xr3:uid="{0E87878D-1BF2-4F45-8068-1D7008438C6A}" name="周期(Period)" dataDxfId="3"/>
    <tableColumn id="5" xr3:uid="{CCD74A48-3DC0-43F8-A914-7F64F09DF8C0}" name="转一周所用时间(s)" dataDxfId="1"/>
    <tableColumn id="6" xr3:uid="{2599E7C1-F6CA-47B4-BAEC-F72FADA5771B}" name="速度(m/s)" dataDxfId="0"/>
    <tableColumn id="7" xr3:uid="{162C34A1-9181-412F-93B0-388877896B53}" name="是否异常" dataDxfId="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9F40F4-8423-4C54-8FE4-63D6934E7094}" name="表3" displayName="表3" ref="A1:D15" totalsRowShown="0" dataDxfId="9">
  <autoFilter ref="A1:D15" xr:uid="{679F40F4-8423-4C54-8FE4-63D6934E7094}"/>
  <tableColumns count="4">
    <tableColumn id="1" xr3:uid="{226F1D2A-3AA6-421C-A537-ABC9F7BBCA62}" name="细分模式" dataDxfId="13"/>
    <tableColumn id="2" xr3:uid="{8E03AB24-2A45-426C-94AE-6879ED9D5628}" name="Mode0" dataDxfId="12"/>
    <tableColumn id="3" xr3:uid="{6D869018-4236-49CB-805C-3BD8BC498F71}" name="Mode1" dataDxfId="11"/>
    <tableColumn id="4" xr3:uid="{74AE1DB8-BF32-4E21-86D5-31386EDFC092}" name="Mode2" dataDxfId="1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="85" zoomScaleNormal="85" workbookViewId="0">
      <selection activeCell="L13" sqref="L13"/>
    </sheetView>
  </sheetViews>
  <sheetFormatPr defaultRowHeight="13.8" x14ac:dyDescent="0.25"/>
  <cols>
    <col min="1" max="1" width="25.6640625" customWidth="1"/>
    <col min="2" max="2" width="24.109375" customWidth="1"/>
    <col min="3" max="3" width="22.33203125" customWidth="1"/>
    <col min="4" max="4" width="23" customWidth="1"/>
    <col min="5" max="5" width="21.21875" customWidth="1"/>
    <col min="6" max="6" width="31.109375" customWidth="1"/>
    <col min="7" max="7" width="17.33203125" customWidth="1"/>
    <col min="8" max="8" width="9.44140625" customWidth="1"/>
    <col min="10" max="10" width="15.33203125" customWidth="1"/>
    <col min="11" max="11" width="14" customWidth="1"/>
    <col min="12" max="12" width="27.5546875" customWidth="1"/>
  </cols>
  <sheetData>
    <row r="1" spans="1:12" s="6" customFormat="1" ht="35.4" customHeight="1" x14ac:dyDescent="0.25">
      <c r="A1" s="7" t="s">
        <v>13</v>
      </c>
      <c r="B1" s="5"/>
      <c r="C1" s="5"/>
      <c r="D1" s="5"/>
      <c r="E1" s="5"/>
      <c r="F1" s="5"/>
      <c r="G1" s="5"/>
    </row>
    <row r="2" spans="1:12" s="6" customFormat="1" ht="35.4" customHeight="1" x14ac:dyDescent="0.25">
      <c r="A2" s="1" t="s">
        <v>14</v>
      </c>
      <c r="B2" s="1" t="s">
        <v>2</v>
      </c>
      <c r="C2" s="1" t="s">
        <v>1</v>
      </c>
      <c r="D2" s="1" t="s">
        <v>0</v>
      </c>
      <c r="E2" s="1" t="s">
        <v>15</v>
      </c>
      <c r="F2" s="1" t="s">
        <v>24</v>
      </c>
      <c r="G2" s="1" t="s">
        <v>23</v>
      </c>
      <c r="I2" s="8" t="s">
        <v>19</v>
      </c>
      <c r="J2" s="8" t="s">
        <v>17</v>
      </c>
      <c r="K2" s="8" t="s">
        <v>18</v>
      </c>
      <c r="L2" s="8" t="s">
        <v>16</v>
      </c>
    </row>
    <row r="3" spans="1:12" x14ac:dyDescent="0.25">
      <c r="A3" s="1">
        <v>0</v>
      </c>
      <c r="B3" s="1">
        <v>50</v>
      </c>
      <c r="C3" s="2">
        <v>0</v>
      </c>
      <c r="D3" s="2">
        <v>0</v>
      </c>
      <c r="E3" s="11">
        <v>0</v>
      </c>
      <c r="F3" s="12"/>
      <c r="G3" s="1"/>
      <c r="I3" s="9" t="s">
        <v>20</v>
      </c>
      <c r="J3" s="9">
        <v>65</v>
      </c>
      <c r="K3" s="9">
        <v>3.1415926000000001</v>
      </c>
      <c r="L3" s="9">
        <f>J3*K3</f>
        <v>204.203519</v>
      </c>
    </row>
    <row r="4" spans="1:12" x14ac:dyDescent="0.25">
      <c r="A4" s="1">
        <v>1</v>
      </c>
      <c r="B4" s="1">
        <v>50</v>
      </c>
      <c r="C4" s="2">
        <v>1000000</v>
      </c>
      <c r="D4" s="2">
        <v>500000</v>
      </c>
      <c r="E4" s="11"/>
      <c r="F4" s="12"/>
      <c r="G4" s="1"/>
      <c r="I4" s="10" t="s">
        <v>21</v>
      </c>
      <c r="J4" s="10">
        <v>6.5000000000000002E-2</v>
      </c>
      <c r="K4" s="10" t="s">
        <v>22</v>
      </c>
      <c r="L4" s="10">
        <f>J4*K3</f>
        <v>0.204203519</v>
      </c>
    </row>
    <row r="5" spans="1:12" x14ac:dyDescent="0.25">
      <c r="A5" s="1">
        <v>10</v>
      </c>
      <c r="B5" s="1">
        <v>50</v>
      </c>
      <c r="C5" s="2">
        <v>100000</v>
      </c>
      <c r="D5" s="2">
        <v>50000</v>
      </c>
      <c r="E5" s="11"/>
      <c r="F5" s="12"/>
      <c r="G5" s="1"/>
    </row>
    <row r="6" spans="1:12" x14ac:dyDescent="0.25">
      <c r="A6" s="1">
        <v>100</v>
      </c>
      <c r="B6" s="1">
        <v>50</v>
      </c>
      <c r="C6" s="2">
        <v>10000</v>
      </c>
      <c r="D6" s="2">
        <v>5000</v>
      </c>
      <c r="E6" s="11"/>
      <c r="F6" s="12"/>
      <c r="G6" s="1"/>
    </row>
    <row r="7" spans="1:12" x14ac:dyDescent="0.25">
      <c r="A7" s="1">
        <v>1000</v>
      </c>
      <c r="B7" s="1">
        <v>50</v>
      </c>
      <c r="C7" s="2">
        <v>1000</v>
      </c>
      <c r="D7" s="2">
        <v>500</v>
      </c>
      <c r="E7" s="11"/>
      <c r="F7" s="12"/>
      <c r="G7" s="1"/>
    </row>
    <row r="8" spans="1:12" x14ac:dyDescent="0.25">
      <c r="A8" s="1">
        <v>1100</v>
      </c>
      <c r="B8" s="1">
        <v>50</v>
      </c>
      <c r="C8" s="2"/>
      <c r="D8" s="2"/>
      <c r="E8" s="11"/>
      <c r="F8" s="12"/>
      <c r="G8" s="1"/>
    </row>
    <row r="9" spans="1:12" x14ac:dyDescent="0.25">
      <c r="A9" s="1">
        <v>1200</v>
      </c>
      <c r="B9" s="1">
        <v>50</v>
      </c>
      <c r="C9" s="2"/>
      <c r="D9" s="2"/>
      <c r="E9" s="11"/>
      <c r="F9" s="12"/>
      <c r="G9" s="1"/>
    </row>
    <row r="10" spans="1:12" x14ac:dyDescent="0.25">
      <c r="A10" s="1">
        <v>1300</v>
      </c>
      <c r="B10" s="1">
        <v>50</v>
      </c>
      <c r="C10" s="2"/>
      <c r="D10" s="2"/>
      <c r="E10" s="11"/>
      <c r="F10" s="12"/>
      <c r="G10" s="1"/>
    </row>
    <row r="11" spans="1:12" x14ac:dyDescent="0.25">
      <c r="A11" s="1">
        <v>1400</v>
      </c>
      <c r="B11" s="1">
        <v>50</v>
      </c>
      <c r="C11" s="2"/>
      <c r="D11" s="2"/>
      <c r="E11" s="11"/>
      <c r="F11" s="12"/>
      <c r="G11" s="1"/>
    </row>
    <row r="12" spans="1:12" x14ac:dyDescent="0.25">
      <c r="A12" s="1">
        <v>1500</v>
      </c>
      <c r="B12" s="1">
        <v>50</v>
      </c>
      <c r="C12" s="2"/>
      <c r="D12" s="2"/>
      <c r="E12" s="11"/>
      <c r="F12" s="12"/>
      <c r="G12" s="1"/>
    </row>
    <row r="13" spans="1:12" x14ac:dyDescent="0.25">
      <c r="A13" s="1">
        <v>1600</v>
      </c>
      <c r="B13" s="1">
        <v>50</v>
      </c>
      <c r="C13" s="2"/>
      <c r="D13" s="2"/>
      <c r="E13" s="11"/>
      <c r="F13" s="12"/>
      <c r="G13" s="1"/>
    </row>
    <row r="14" spans="1:12" x14ac:dyDescent="0.25">
      <c r="A14" s="1">
        <v>1700</v>
      </c>
      <c r="B14" s="1">
        <v>50</v>
      </c>
      <c r="C14" s="2"/>
      <c r="D14" s="2"/>
      <c r="E14" s="11"/>
      <c r="F14" s="12"/>
      <c r="G14" s="1"/>
    </row>
    <row r="15" spans="1:12" x14ac:dyDescent="0.25">
      <c r="A15" s="1">
        <v>1800</v>
      </c>
      <c r="B15" s="1">
        <v>50</v>
      </c>
      <c r="C15" s="2"/>
      <c r="D15" s="2"/>
      <c r="E15" s="11"/>
      <c r="F15" s="12"/>
      <c r="G15" s="1"/>
    </row>
    <row r="16" spans="1:12" x14ac:dyDescent="0.25">
      <c r="A16" s="1">
        <v>1900</v>
      </c>
      <c r="B16" s="1">
        <v>50</v>
      </c>
      <c r="C16" s="2"/>
      <c r="D16" s="2"/>
      <c r="E16" s="11"/>
      <c r="F16" s="12"/>
      <c r="G16" s="1"/>
    </row>
    <row r="17" spans="1:7" x14ac:dyDescent="0.25">
      <c r="A17" s="1">
        <v>2000</v>
      </c>
      <c r="B17" s="1">
        <v>50</v>
      </c>
      <c r="C17" s="2">
        <v>2000</v>
      </c>
      <c r="D17" s="2">
        <v>1000</v>
      </c>
      <c r="E17" s="11">
        <v>3.15</v>
      </c>
      <c r="F17" s="12">
        <f>J4*K3/表1[[#This Row],[转一周所用时间(s)]]</f>
        <v>6.4826513968253965E-2</v>
      </c>
      <c r="G17" s="1"/>
    </row>
    <row r="18" spans="1:7" x14ac:dyDescent="0.25">
      <c r="A18" s="1">
        <v>3000</v>
      </c>
      <c r="B18" s="1">
        <v>50</v>
      </c>
      <c r="C18" s="2">
        <v>3000</v>
      </c>
      <c r="D18" s="2">
        <v>1500</v>
      </c>
      <c r="E18" s="11">
        <v>4.8</v>
      </c>
      <c r="F18" s="12">
        <f>J4*K3/表1[[#This Row],[转一周所用时间(s)]]</f>
        <v>4.2542399791666671E-2</v>
      </c>
      <c r="G18" s="1"/>
    </row>
    <row r="19" spans="1:7" x14ac:dyDescent="0.25">
      <c r="A19" s="1">
        <v>4000</v>
      </c>
      <c r="B19" s="1">
        <v>50</v>
      </c>
      <c r="C19" s="2">
        <v>4000</v>
      </c>
      <c r="D19" s="2">
        <v>2000</v>
      </c>
      <c r="E19" s="11">
        <v>6.5</v>
      </c>
      <c r="F19" s="12">
        <f>J4*K3/表1[[#This Row],[转一周所用时间(s)]]</f>
        <v>3.1415925999999997E-2</v>
      </c>
      <c r="G19" s="1"/>
    </row>
    <row r="20" spans="1:7" x14ac:dyDescent="0.25">
      <c r="A20" s="1">
        <v>5000</v>
      </c>
      <c r="B20" s="1">
        <v>50</v>
      </c>
      <c r="C20" s="2">
        <v>5000</v>
      </c>
      <c r="D20" s="2">
        <v>2500</v>
      </c>
      <c r="E20" s="11">
        <v>8</v>
      </c>
      <c r="F20" s="12">
        <f>J4*K3/表1[[#This Row],[转一周所用时间(s)]]</f>
        <v>2.5525439875E-2</v>
      </c>
      <c r="G20" s="1"/>
    </row>
    <row r="21" spans="1:7" x14ac:dyDescent="0.25">
      <c r="A21" s="1">
        <v>6000</v>
      </c>
      <c r="B21" s="1">
        <v>50</v>
      </c>
      <c r="C21" s="2">
        <v>6000</v>
      </c>
      <c r="D21" s="2">
        <v>3000</v>
      </c>
      <c r="E21" s="11">
        <v>9.5</v>
      </c>
      <c r="F21" s="12">
        <f>J4*K3/表1[[#This Row],[转一周所用时间(s)]]</f>
        <v>2.1495107263157894E-2</v>
      </c>
      <c r="G21" s="1"/>
    </row>
    <row r="22" spans="1:7" x14ac:dyDescent="0.25">
      <c r="A22" s="1">
        <v>7000</v>
      </c>
      <c r="B22" s="1">
        <v>50</v>
      </c>
      <c r="C22" s="2">
        <v>7000</v>
      </c>
      <c r="D22" s="2">
        <v>3500</v>
      </c>
      <c r="E22" s="11"/>
      <c r="F22" s="12"/>
      <c r="G22" s="1"/>
    </row>
    <row r="23" spans="1:7" x14ac:dyDescent="0.25">
      <c r="A23" s="1">
        <v>8000</v>
      </c>
      <c r="B23" s="1">
        <v>50</v>
      </c>
      <c r="C23" s="2">
        <v>8000</v>
      </c>
      <c r="D23" s="2">
        <v>4000</v>
      </c>
      <c r="E23" s="11"/>
      <c r="F23" s="12"/>
      <c r="G23" s="1"/>
    </row>
    <row r="24" spans="1:7" x14ac:dyDescent="0.25">
      <c r="A24" s="1">
        <v>9000</v>
      </c>
      <c r="B24" s="1">
        <v>50</v>
      </c>
      <c r="C24" s="2">
        <v>9000</v>
      </c>
      <c r="D24" s="2">
        <v>4500</v>
      </c>
      <c r="E24" s="11"/>
      <c r="F24" s="12"/>
      <c r="G24" s="1"/>
    </row>
    <row r="25" spans="1:7" x14ac:dyDescent="0.25">
      <c r="A25" s="1">
        <v>10000</v>
      </c>
      <c r="B25" s="1">
        <v>50</v>
      </c>
      <c r="C25" s="2">
        <v>100</v>
      </c>
      <c r="D25" s="2">
        <v>50</v>
      </c>
      <c r="E25" s="11"/>
      <c r="F25" s="12"/>
      <c r="G25" s="1"/>
    </row>
  </sheetData>
  <mergeCells count="1">
    <mergeCell ref="A1:G1"/>
  </mergeCells>
  <phoneticPr fontId="1" type="noConversion"/>
  <dataValidations count="1">
    <dataValidation type="list" allowBlank="1" showInputMessage="1" showErrorMessage="1" sqref="G5:G25" xr:uid="{B6353956-FF4F-478A-898B-9794F9BE08A0}">
      <formula1>"是,否"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01EC-1C4A-455D-B8B4-2DE40E307DF5}">
  <dimension ref="A1:D15"/>
  <sheetViews>
    <sheetView workbookViewId="0">
      <selection activeCell="A3" sqref="A3:D3"/>
    </sheetView>
  </sheetViews>
  <sheetFormatPr defaultRowHeight="13.8" x14ac:dyDescent="0.25"/>
  <cols>
    <col min="1" max="1" width="22.44140625" customWidth="1"/>
    <col min="2" max="2" width="17.5546875" customWidth="1"/>
    <col min="3" max="3" width="15.33203125" customWidth="1"/>
    <col min="4" max="4" width="20.88671875" customWidth="1"/>
  </cols>
  <sheetData>
    <row r="1" spans="1:4" x14ac:dyDescent="0.25">
      <c r="A1" t="s">
        <v>6</v>
      </c>
      <c r="B1" t="s">
        <v>4</v>
      </c>
      <c r="C1" t="s">
        <v>3</v>
      </c>
      <c r="D1" t="s">
        <v>5</v>
      </c>
    </row>
    <row r="2" spans="1:4" x14ac:dyDescent="0.25">
      <c r="A2" s="1" t="s">
        <v>12</v>
      </c>
      <c r="B2" s="1">
        <v>0</v>
      </c>
      <c r="C2" s="1">
        <v>0</v>
      </c>
      <c r="D2" s="1">
        <v>0</v>
      </c>
    </row>
    <row r="3" spans="1:4" x14ac:dyDescent="0.25">
      <c r="A3" s="1" t="s">
        <v>11</v>
      </c>
      <c r="B3" s="1">
        <v>1</v>
      </c>
      <c r="C3" s="1">
        <v>0</v>
      </c>
      <c r="D3" s="1">
        <v>0</v>
      </c>
    </row>
    <row r="4" spans="1:4" x14ac:dyDescent="0.25">
      <c r="A4" s="1" t="s">
        <v>10</v>
      </c>
      <c r="B4" s="1">
        <v>0</v>
      </c>
      <c r="C4" s="1">
        <v>1</v>
      </c>
      <c r="D4" s="1">
        <v>0</v>
      </c>
    </row>
    <row r="5" spans="1:4" x14ac:dyDescent="0.25">
      <c r="A5" s="1" t="s">
        <v>7</v>
      </c>
      <c r="B5" s="1">
        <v>0</v>
      </c>
      <c r="C5" s="1">
        <v>1</v>
      </c>
      <c r="D5" s="1">
        <v>1</v>
      </c>
    </row>
    <row r="6" spans="1:4" x14ac:dyDescent="0.25">
      <c r="A6" s="1" t="s">
        <v>9</v>
      </c>
      <c r="B6" s="1">
        <v>1</v>
      </c>
      <c r="C6" s="1">
        <v>0</v>
      </c>
      <c r="D6" s="1">
        <v>0</v>
      </c>
    </row>
    <row r="7" spans="1:4" x14ac:dyDescent="0.25">
      <c r="A7" s="1" t="s">
        <v>8</v>
      </c>
      <c r="B7" s="1">
        <v>1</v>
      </c>
      <c r="C7" s="1">
        <v>0</v>
      </c>
      <c r="D7" s="1">
        <v>1</v>
      </c>
    </row>
    <row r="8" spans="1:4" x14ac:dyDescent="0.25">
      <c r="A8" s="1" t="s">
        <v>8</v>
      </c>
      <c r="B8" s="1">
        <v>1</v>
      </c>
      <c r="C8" s="1">
        <v>1</v>
      </c>
      <c r="D8" s="1">
        <v>0</v>
      </c>
    </row>
    <row r="9" spans="1:4" x14ac:dyDescent="0.25">
      <c r="A9" s="1" t="s">
        <v>8</v>
      </c>
      <c r="B9" s="1">
        <v>1</v>
      </c>
      <c r="C9" s="1">
        <v>1</v>
      </c>
      <c r="D9" s="1">
        <v>1</v>
      </c>
    </row>
    <row r="10" spans="1:4" x14ac:dyDescent="0.25">
      <c r="A10" s="3"/>
      <c r="B10" s="3"/>
      <c r="C10" s="3"/>
      <c r="D10" s="3"/>
    </row>
    <row r="11" spans="1:4" x14ac:dyDescent="0.25">
      <c r="A11" s="4"/>
      <c r="B11" s="4"/>
      <c r="C11" s="4"/>
      <c r="D11" s="4"/>
    </row>
    <row r="12" spans="1:4" x14ac:dyDescent="0.25">
      <c r="A12" s="4"/>
      <c r="B12" s="4"/>
      <c r="C12" s="4"/>
      <c r="D12" s="4"/>
    </row>
    <row r="13" spans="1:4" x14ac:dyDescent="0.25">
      <c r="A13" s="4"/>
      <c r="B13" s="4"/>
      <c r="C13" s="4"/>
      <c r="D13" s="4"/>
    </row>
    <row r="14" spans="1:4" x14ac:dyDescent="0.25">
      <c r="A14" s="4"/>
      <c r="B14" s="4"/>
      <c r="C14" s="4"/>
      <c r="D14" s="4"/>
    </row>
    <row r="15" spans="1:4" x14ac:dyDescent="0.25">
      <c r="A15" s="4"/>
      <c r="B15" s="4"/>
      <c r="C15" s="4"/>
      <c r="D15" s="4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电机工作频率与电机转速关系表</vt:lpstr>
      <vt:lpstr>电机细分数表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Nights Mr.</cp:lastModifiedBy>
  <dcterms:created xsi:type="dcterms:W3CDTF">2015-06-05T18:19:34Z</dcterms:created>
  <dcterms:modified xsi:type="dcterms:W3CDTF">2025-03-12T03:58:58Z</dcterms:modified>
</cp:coreProperties>
</file>